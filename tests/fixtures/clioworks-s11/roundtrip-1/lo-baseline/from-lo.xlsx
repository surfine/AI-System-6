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预算" sheetId="1" state="visible" r:id="rId3"/>
    <sheet name="口径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tc={11111111-1111-4111-8111-111111111111}</author>
    <author>阿澄</author>
  </authors>
  <commentList>
    <comment ref="A2" authorId="1">
      <text>
        <r>
          <rPr>
            <sz val="10"/>
            <rFont val="Linux Libertine G"/>
            <family val="2"/>
          </rPr>
          <t xml:space="preserve">阿澄</t>
        </r>
        <r>
          <rPr>
            <sz val="10"/>
            <rFont val="Arial"/>
            <family val="2"/>
          </rPr>
          <t xml:space="preserve">:
</t>
        </r>
        <r>
          <rPr>
            <sz val="9"/>
            <rFont val="Linux Libertine G"/>
            <family val="2"/>
          </rPr>
          <t xml:space="preserve">核对数量</t>
        </r>
      </text>
    </comment>
    <comment ref="B2" authorId="0" guid="{11111111-1111-4111-8111-111111111111}">
      <text>
        <r>
          <rPr>
            <sz val="10"/>
            <rFont val="Arial"/>
            <family val="2"/>
          </rPr>
          <t xml:space="preserve">[Threaded comment]
</t>
        </r>
        <r>
          <rPr>
            <sz val="10"/>
            <rFont val="Linux Libertine G"/>
            <family val="2"/>
          </rPr>
          <t xml:space="preserve">纸箱单价再确认一下</t>
        </r>
      </text>
    </comment>
  </commentList>
</comments>
</file>

<file path=xl/sharedStrings.xml><?xml version="1.0" encoding="utf-8"?>
<sst xmlns="http://schemas.openxmlformats.org/spreadsheetml/2006/main" count="40" uniqueCount="31">
  <si>
    <t xml:space="preserve">项目</t>
  </si>
  <si>
    <t xml:space="preserve">数量</t>
  </si>
  <si>
    <t xml:space="preserve">单价</t>
  </si>
  <si>
    <t xml:space="preserve">金额</t>
  </si>
  <si>
    <t xml:space="preserve">负责人</t>
  </si>
  <si>
    <t xml:space="preserve">状态</t>
  </si>
  <si>
    <t xml:space="preserve">占比</t>
  </si>
  <si>
    <t xml:space="preserve">日期</t>
  </si>
  <si>
    <t xml:space="preserve">纸箱（中号）</t>
  </si>
  <si>
    <t xml:space="preserve">阿澄</t>
  </si>
  <si>
    <t xml:space="preserve">已买</t>
  </si>
  <si>
    <t xml:space="preserve">封箱胶带</t>
  </si>
  <si>
    <t xml:space="preserve">小货车（半天）</t>
  </si>
  <si>
    <t xml:space="preserve">小禾</t>
  </si>
  <si>
    <t xml:space="preserve">已约</t>
  </si>
  <si>
    <t xml:space="preserve">搬运帮工</t>
  </si>
  <si>
    <t xml:space="preserve">待确认</t>
  </si>
  <si>
    <t xml:space="preserve">新书架</t>
  </si>
  <si>
    <t xml:space="preserve">标签纸</t>
  </si>
  <si>
    <t xml:space="preserve">午饭与茶水</t>
  </si>
  <si>
    <t xml:space="preserve">估算</t>
  </si>
  <si>
    <t xml:space="preserve">旧书架拆卸</t>
  </si>
  <si>
    <t xml:space="preserve">未测</t>
  </si>
  <si>
    <t xml:space="preserve">房东</t>
  </si>
  <si>
    <t xml:space="preserve">问过了</t>
  </si>
  <si>
    <t xml:space="preserve">备用箱</t>
  </si>
  <si>
    <t xml:space="preserve">待定</t>
  </si>
  <si>
    <t xml:space="preserve">合计</t>
  </si>
  <si>
    <t xml:space="preserve">口径</t>
  </si>
  <si>
    <r>
      <rPr>
        <sz val="11"/>
        <rFont val="Linux Libertine G"/>
        <family val="2"/>
      </rPr>
      <t xml:space="preserve">金额 </t>
    </r>
    <r>
      <rPr>
        <sz val="11"/>
        <rFont val="Arial"/>
        <family val="0"/>
        <charset val="1"/>
      </rPr>
      <t xml:space="preserve">= </t>
    </r>
    <r>
      <rPr>
        <sz val="11"/>
        <rFont val="Linux Libertine G"/>
        <family val="2"/>
      </rPr>
      <t xml:space="preserve">数量 </t>
    </r>
    <r>
      <rPr>
        <sz val="11"/>
        <rFont val="Arial"/>
        <family val="0"/>
        <charset val="1"/>
      </rPr>
      <t xml:space="preserve">× </t>
    </r>
    <r>
      <rPr>
        <sz val="11"/>
        <rFont val="Linux Libertine G"/>
        <family val="2"/>
      </rPr>
      <t xml:space="preserve">单价；“未测”不参与合计。</t>
    </r>
  </si>
  <si>
    <t xml:space="preserve">仅供格式互操作测试的合成夹具。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</si>
</sst>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¥#,##0"/>
    <numFmt numFmtId="166" formatCode="0.0%"/>
    <numFmt numFmtId="167" formatCode="yyyy\年m\月d\日"/>
    <numFmt numFmtId="168" formatCode="yyyy/m/d"/>
  </numFmts>
  <fonts count="9">
    <font>
      <sz val="1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Linux Libertine G"/>
      <family val="2"/>
    </font>
    <font>
      <sz val="11"/>
      <name val="Arial"/>
      <family val="0"/>
      <charset val="1"/>
    </font>
    <font>
      <sz val="10"/>
      <name val="Linux Libertine G"/>
      <family val="2"/>
    </font>
    <font>
      <sz val="10"/>
      <name val="Arial"/>
      <family val="2"/>
    </font>
    <font>
      <sz val="9"/>
      <name val="Linux Libertine G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clw-preservation.xml"/><Relationship Id="rId7" Type="http://schemas.microsoft.com/office/2017/10/relationships/person" Target="persons/person.xml"/>
</Relationships>
</file>

<file path=xl/persons/person.xml><?xml version="1.0" encoding="utf-8"?>
<personList xmlns="http://schemas.microsoft.com/office/spreadsheetml/2018/threadedcomments">
  <person displayName="阿澄" id="{AAAAAAAA-AAAA-4AAA-8AAA-AAAAAAAAAAAA}" userId="阿澄" providerId="None"/>
  <person displayName="小禾" id="{BBBBBBBB-BBBB-4BBB-8BBB-BBBBBBBBBBBB}" userId="小禾" providerId="None"/>
</personList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threadedComments/threadedComment1.xml><?xml version="1.0" encoding="utf-8"?>
<ThreadedComments xmlns="http://schemas.microsoft.com/office/spreadsheetml/2018/threadedcomments">
  <threadedComment ref="B2" dT="2026-10-10T09:00:00.00" personId="{AAAAAAAA-AAAA-4AAA-8AAA-AAAAAAAAAAAA}" id="{11111111-1111-4111-8111-111111111111}">
    <text>纸箱单价再确认一下</text>
  </threadedComment>
  <threadedComment ref="B2" dT="2026-10-10T10:30:00.00" personId="{BBBBBBBB-BBBB-4BBB-8BBB-BBBBBBBBBBBB}" id="{22222222-2222-4222-8222-222222222222}" parentId="{11111111-1111-4111-8111-111111111111}">
    <text>已确认，按 6 元算</text>
  </threadedComment>
  <threadedComment ref="B2" dT="2026-10-16T08:30:00.00" personId="{BBBBBBBB-BBBB-4BBB-8BBB-BBBBBBBBBBBB}" id="{00000000-0000-4000-8000-000000000002}" parentId="{11111111-1111-4111-8111-111111111111}">
    <text>收到，按 250 个订</text>
  </threadedComment>
</ThreadedComment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796875" defaultRowHeight="12.8" customHeight="false" zeroHeight="false" outlineLevelRow="0" outlineLevelCol="0"/>
  <cols>
    <col collapsed="false" customWidth="true" hidden="false" outlineLevel="0" max="1" min="1" style="0" width="26.31"/>
    <col collapsed="false" customWidth="true" hidden="false" outlineLevel="0" max="8" min="2" style="0" width="14.3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9" hidden="false" customHeight="false" outlineLevel="0" collapsed="false">
      <c r="A2" s="0" t="s">
        <v>8</v>
      </c>
      <c r="B2" s="0" t="n">
        <v>250</v>
      </c>
      <c r="C2" s="2" t="n">
        <v>6</v>
      </c>
      <c r="D2" s="2" t="n">
        <f aca="false">B2*C2</f>
        <v>1500</v>
      </c>
      <c r="E2" s="0" t="s">
        <v>9</v>
      </c>
      <c r="F2" s="0" t="s">
        <v>10</v>
      </c>
      <c r="G2" s="3" t="n">
        <f aca="false">D2/$D$12</f>
        <v>0.142585551330798</v>
      </c>
      <c r="H2" s="4" t="n">
        <v>46300</v>
      </c>
    </row>
    <row r="3" customFormat="false" ht="13.8" hidden="false" customHeight="false" outlineLevel="0" collapsed="false">
      <c r="A3" s="0" t="s">
        <v>11</v>
      </c>
      <c r="B3" s="0" t="n">
        <v>30</v>
      </c>
      <c r="C3" s="2" t="n">
        <v>4</v>
      </c>
      <c r="D3" s="2" t="n">
        <f aca="false">B3*C3*2</f>
        <v>240</v>
      </c>
      <c r="E3" s="0" t="s">
        <v>9</v>
      </c>
      <c r="F3" s="0" t="s">
        <v>10</v>
      </c>
      <c r="G3" s="3" t="n">
        <f aca="false">D3/$D$12</f>
        <v>0.0228136882129278</v>
      </c>
      <c r="H3" s="5" t="n">
        <v>46301</v>
      </c>
    </row>
    <row r="4" customFormat="false" ht="13.8" hidden="false" customHeight="false" outlineLevel="0" collapsed="false">
      <c r="A4" s="0" t="s">
        <v>12</v>
      </c>
      <c r="B4" s="0" t="n">
        <v>4</v>
      </c>
      <c r="C4" s="2" t="n">
        <v>650</v>
      </c>
      <c r="D4" s="2" t="n">
        <f aca="false">B4*C4</f>
        <v>2600</v>
      </c>
      <c r="E4" s="0" t="s">
        <v>13</v>
      </c>
      <c r="F4" s="0" t="s">
        <v>14</v>
      </c>
      <c r="G4" s="3" t="n">
        <f aca="false">D4/$D$12</f>
        <v>0.247148288973384</v>
      </c>
    </row>
    <row r="5" customFormat="false" ht="13.8" hidden="false" customHeight="false" outlineLevel="0" collapsed="false">
      <c r="A5" s="0" t="s">
        <v>15</v>
      </c>
      <c r="B5" s="0" t="n">
        <v>14</v>
      </c>
      <c r="C5" s="2" t="n">
        <v>200</v>
      </c>
      <c r="D5" s="2" t="n">
        <f aca="false">B5*C5</f>
        <v>2800</v>
      </c>
      <c r="E5" s="0" t="s">
        <v>13</v>
      </c>
      <c r="F5" s="0" t="s">
        <v>16</v>
      </c>
      <c r="G5" s="3" t="n">
        <f aca="false">D5/$D$12</f>
        <v>0.266159695817491</v>
      </c>
    </row>
    <row r="6" customFormat="false" ht="13.8" hidden="false" customHeight="false" outlineLevel="0" collapsed="false">
      <c r="A6" s="0" t="s">
        <v>17</v>
      </c>
      <c r="B6" s="0" t="n">
        <v>6</v>
      </c>
      <c r="C6" s="2" t="n">
        <v>380</v>
      </c>
      <c r="D6" s="2" t="n">
        <f aca="false">B6*C6</f>
        <v>2280</v>
      </c>
      <c r="E6" s="0" t="s">
        <v>9</v>
      </c>
      <c r="F6" s="0" t="s">
        <v>16</v>
      </c>
      <c r="G6" s="3" t="n">
        <f aca="false">D6/$D$12</f>
        <v>0.216730038022814</v>
      </c>
    </row>
    <row r="7" customFormat="false" ht="13.8" hidden="false" customHeight="false" outlineLevel="0" collapsed="false">
      <c r="A7" s="0" t="s">
        <v>18</v>
      </c>
      <c r="B7" s="0" t="n">
        <v>12</v>
      </c>
      <c r="C7" s="2" t="n">
        <v>15</v>
      </c>
      <c r="D7" s="2" t="n">
        <f aca="false">B7*C7</f>
        <v>180</v>
      </c>
      <c r="E7" s="0" t="s">
        <v>9</v>
      </c>
      <c r="F7" s="0" t="s">
        <v>10</v>
      </c>
      <c r="G7" s="3" t="n">
        <f aca="false">D7/$D$12</f>
        <v>0.0171102661596958</v>
      </c>
    </row>
    <row r="8" customFormat="false" ht="13.8" hidden="false" customHeight="false" outlineLevel="0" collapsed="false">
      <c r="A8" s="0" t="s">
        <v>19</v>
      </c>
      <c r="B8" s="0" t="n">
        <v>23</v>
      </c>
      <c r="C8" s="2" t="n">
        <v>40</v>
      </c>
      <c r="D8" s="2" t="n">
        <f aca="false">B8*C8</f>
        <v>920</v>
      </c>
      <c r="E8" s="0" t="s">
        <v>13</v>
      </c>
      <c r="F8" s="0" t="s">
        <v>20</v>
      </c>
      <c r="G8" s="3" t="n">
        <f aca="false">D8/$D$12</f>
        <v>0.0874524714828897</v>
      </c>
    </row>
    <row r="9" customFormat="false" ht="13.8" hidden="false" customHeight="false" outlineLevel="0" collapsed="false">
      <c r="A9" s="0" t="s">
        <v>21</v>
      </c>
      <c r="B9" s="0" t="s">
        <v>22</v>
      </c>
      <c r="C9" s="2"/>
      <c r="D9" s="2" t="e">
        <f aca="false">B9*C9</f>
        <v>#VALUE!</v>
      </c>
      <c r="E9" s="0" t="s">
        <v>23</v>
      </c>
      <c r="F9" s="0" t="s">
        <v>24</v>
      </c>
    </row>
    <row r="10" customFormat="false" ht="13.8" hidden="false" customHeight="false" outlineLevel="0" collapsed="false">
      <c r="A10" s="0" t="s">
        <v>25</v>
      </c>
      <c r="B10" s="0" t="n">
        <v>0</v>
      </c>
      <c r="C10" s="2" t="n">
        <v>6</v>
      </c>
      <c r="D10" s="2" t="n">
        <f aca="false">B10*C10</f>
        <v>0</v>
      </c>
      <c r="E10" s="0" t="s">
        <v>9</v>
      </c>
      <c r="F10" s="0" t="s">
        <v>26</v>
      </c>
    </row>
    <row r="11" customFormat="false" ht="13.8" hidden="false" customHeight="false" outlineLevel="0" collapsed="false"/>
    <row r="12" customFormat="false" ht="14.9" hidden="false" customHeight="false" outlineLevel="0" collapsed="false">
      <c r="A12" s="0" t="s">
        <v>27</v>
      </c>
      <c r="D12" s="2" t="n">
        <f aca="false">SUM(D2:D8,D10)</f>
        <v>10520</v>
      </c>
      <c r="F12" s="0" t="str">
        <f aca="false">"另有 "&amp;COUNTIF(B2:B10,"未测")&amp;" 项未测"</f>
        <v>另有 1 项未测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79687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28</v>
      </c>
    </row>
    <row r="2" customFormat="false" ht="14.9" hidden="false" customHeight="false" outlineLevel="0" collapsed="false">
      <c r="A2" s="0" t="s">
        <v>29</v>
      </c>
    </row>
    <row r="3" customFormat="false" ht="13.8" hidden="false" customHeight="false" outlineLevel="0" collapsed="false">
      <c r="A3" s="0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2026-10-16T08:00:00Z</dcterms:created>
  <dc:creator/>
  <dc:description/>
  <dc:language>zh-Hant</dc:language>
  <cp:lastModifiedBy/>
  <dcterms:modified xsi:type="dcterms:W3CDTF">2026-10-16T08:00:00Z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