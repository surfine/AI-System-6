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预算" sheetId="1" r:id="rId1"/>
    <sheet name="口径" sheetId="2" r:id="rId2"/>
  </sheets>
  <calcPr calcId="191029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阿澄</author>
    <author>tc={11111111-1111-4111-8111-111111111111}</author>
  </authors>
  <commentList>
    <comment ref="A2" authorId="0">
      <text>
        <r>
          <rPr>
            <b/>
            <sz val="9"/>
            <rFont val="Tahoma"/>
            <family val="2"/>
          </rPr>
          <t>阿澄:</t>
        </r>
        <r>
          <rPr>
            <sz val="9"/>
            <rFont val="Tahoma"/>
            <family val="2"/>
          </rPr>
          <t xml:space="preserve">
核对数量</t>
        </r>
      </text>
    </comment>
    <comment ref="B2" authorId="1" xr:uid="{11111111-1111-4111-8111-111111111111}">
      <text>
        <t>[Threaded comment]
纸箱单价再确认一下</t>
      </text>
    </comment>
  </commentList>
</comments>
</file>

<file path=xl/sharedStrings.xml><?xml version="1.0" encoding="utf-8"?>
<sst xmlns="http://schemas.openxmlformats.org/spreadsheetml/2006/main" count="40" uniqueCount="31">
  <si>
    <t>项目</t>
  </si>
  <si>
    <t>数量</t>
  </si>
  <si>
    <t>单价</t>
  </si>
  <si>
    <t>金额</t>
  </si>
  <si>
    <t>负责人</t>
  </si>
  <si>
    <t>状态</t>
  </si>
  <si>
    <t>占比</t>
  </si>
  <si>
    <t>日期</t>
  </si>
  <si>
    <t>纸箱（中号）</t>
  </si>
  <si>
    <t>阿澄</t>
  </si>
  <si>
    <t>已买</t>
  </si>
  <si>
    <t>封箱胶带</t>
  </si>
  <si>
    <t>小货车（半天）</t>
  </si>
  <si>
    <t>小禾</t>
  </si>
  <si>
    <t>已约</t>
  </si>
  <si>
    <t>搬运帮工</t>
  </si>
  <si>
    <t>待确认</t>
  </si>
  <si>
    <t>新书架</t>
  </si>
  <si>
    <t>标签纸</t>
  </si>
  <si>
    <t>午饭与茶水</t>
  </si>
  <si>
    <t>估算</t>
  </si>
  <si>
    <t>旧书架拆卸</t>
  </si>
  <si>
    <t>未测</t>
  </si>
  <si>
    <t>房东</t>
  </si>
  <si>
    <t>问过了</t>
  </si>
  <si>
    <t>备用箱</t>
  </si>
  <si>
    <t>待定</t>
  </si>
  <si>
    <t>合计</t>
  </si>
  <si>
    <t>口径</t>
  </si>
  <si>
    <t>金额 = 数量 × 单价；“未测”不参与合计。</t>
  </si>
  <si>
    <t>仅供格式互操作测试的合成夹具。</t>
  </si>
</sst>
</file>

<file path=xl/styles.xml><?xml version="1.0" encoding="utf-8"?>
<styleSheet xmlns="http://schemas.openxmlformats.org/spreadsheetml/2006/main">
  <numFmts count="3">
    <numFmt numFmtId="164" formatCode="&quot;¥&quot;#,##0"/>
    <numFmt numFmtId="165" formatCode="0.0%"/>
    <numFmt numFmtId="166" formatCode="yyyy&quot;年&quot;m&quot;月&quot;d&quot;日&quot;"/>
  </numFmts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10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ustomXml" Target="../customXml/clw-preservatio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>
  <person displayName="阿澄" id="{AAAAAAAA-AAAA-4AAA-8AAA-AAAAAAAAAAAA}" userId="阿澄" providerId="None"/>
  <person displayName="小禾" id="{BBBBBBBB-BBBB-4BBB-8BBB-BBBBBBBBBBBB}" userId="小禾" providerId="Non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>
  <threadedComment ref="B2" dT="2026-10-10T09:00:00.00" personId="{AAAAAAAA-AAAA-4AAA-8AAA-AAAAAAAAAAAA}" id="{11111111-1111-4111-8111-111111111111}">
    <text>纸箱单价再确认一下</text>
  </threadedComment>
  <threadedComment ref="B2" dT="2026-10-10T10:30:00.00" personId="{BBBBBBBB-BBBB-4BBB-8BBB-BBBBBBBBBBBB}" id="{22222222-2222-4222-8222-222222222222}" parentId="{11111111-1111-4111-8111-111111111111}">
    <text>已确认，按 6 元算</text>
  </threadedComment>
  <threadedComment id="{00000000-0000-4000-8000-000000000002}" parentId="{11111111-1111-4111-8111-111111111111}" personId="{BBBBBBBB-BBBB-4BBB-8BBB-BBBBBBBBBBBB}" dT="2026-10-16T08:30:00.00" ref="B2" done="0">
    <text>收到，按 250 个订</text>
  </threadedComment>
</ThreadedComment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2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/>
  </sheetViews>
  <cols>
    <col min="1" max="1" width="22" customWidth="1"/>
    <col min="2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250</v>
      </c>
      <c r="C2" s="2">
        <v>6</v>
      </c>
      <c r="D2" s="2">
        <f>B2*C2</f>
        <v>1500</v>
      </c>
      <c r="E2" t="s">
        <v>9</v>
      </c>
      <c r="F2" t="s">
        <v>10</v>
      </c>
      <c r="G2" s="3">
        <f>D2/$D$12</f>
        <v>0.14258555133079848</v>
      </c>
      <c r="H2" s="4">
        <v>46300</v>
      </c>
    </row>
    <row r="3" spans="1:8">
      <c r="A3" t="s">
        <v>11</v>
      </c>
      <c r="B3">
        <v>30</v>
      </c>
      <c r="C3" s="2">
        <v>4</v>
      </c>
      <c r="D3" s="2">
        <f>B3*C3*2</f>
        <v>240</v>
      </c>
      <c r="E3" t="s">
        <v>9</v>
      </c>
      <c r="F3" t="s">
        <v>10</v>
      </c>
      <c r="G3" s="3">
        <f>D3/$D$12</f>
        <v>0.022813688212927757</v>
      </c>
      <c r="H3" s="5">
        <v>46301</v>
      </c>
    </row>
    <row r="4" spans="1:7">
      <c r="A4" t="s">
        <v>12</v>
      </c>
      <c r="B4">
        <v>4</v>
      </c>
      <c r="C4" s="2">
        <v>650</v>
      </c>
      <c r="D4" s="2">
        <f>B4*C4</f>
        <v>2600</v>
      </c>
      <c r="E4" t="s">
        <v>13</v>
      </c>
      <c r="F4" t="s">
        <v>14</v>
      </c>
      <c r="G4" s="3">
        <f>D4/$D$12</f>
        <v>0.24714828897338403</v>
      </c>
    </row>
    <row r="5" spans="1:7">
      <c r="A5" t="s">
        <v>15</v>
      </c>
      <c r="B5">
        <v>14</v>
      </c>
      <c r="C5" s="2">
        <v>200</v>
      </c>
      <c r="D5" s="2">
        <f>B5*C5</f>
        <v>2800</v>
      </c>
      <c r="E5" t="s">
        <v>13</v>
      </c>
      <c r="F5" t="s">
        <v>16</v>
      </c>
      <c r="G5" s="3">
        <f>D5/$D$12</f>
        <v>0.2661596958174905</v>
      </c>
    </row>
    <row r="6" spans="1:7">
      <c r="A6" t="s">
        <v>17</v>
      </c>
      <c r="B6">
        <v>6</v>
      </c>
      <c r="C6" s="2">
        <v>380</v>
      </c>
      <c r="D6" s="2">
        <f>B6*C6</f>
        <v>2280</v>
      </c>
      <c r="E6" t="s">
        <v>9</v>
      </c>
      <c r="F6" t="s">
        <v>16</v>
      </c>
      <c r="G6" s="3">
        <f>D6/$D$12</f>
        <v>0.21673003802281368</v>
      </c>
    </row>
    <row r="7" spans="1:7">
      <c r="A7" t="s">
        <v>18</v>
      </c>
      <c r="B7">
        <v>12</v>
      </c>
      <c r="C7" s="2">
        <v>15</v>
      </c>
      <c r="D7" s="2">
        <f>B7*C7</f>
        <v>180</v>
      </c>
      <c r="E7" t="s">
        <v>9</v>
      </c>
      <c r="F7" t="s">
        <v>10</v>
      </c>
      <c r="G7" s="3">
        <f>D7/$D$12</f>
        <v>0.017110266159695818</v>
      </c>
    </row>
    <row r="8" spans="1:7">
      <c r="A8" t="s">
        <v>19</v>
      </c>
      <c r="B8">
        <v>23</v>
      </c>
      <c r="C8" s="2">
        <v>40</v>
      </c>
      <c r="D8" s="2">
        <f>B8*C8</f>
        <v>920</v>
      </c>
      <c r="E8" t="s">
        <v>13</v>
      </c>
      <c r="F8" t="s">
        <v>20</v>
      </c>
      <c r="G8" s="3">
        <f>D8/$D$12</f>
        <v>0.08745247148288973</v>
      </c>
    </row>
    <row r="9" spans="1:6">
      <c r="A9" t="s">
        <v>21</v>
      </c>
      <c r="B9" t="s">
        <v>22</v>
      </c>
      <c r="C9" s="2"/>
      <c r="D9" s="2" t="e">
        <f>B9*C9</f>
        <v>#VALUE!</v>
      </c>
      <c r="E9" t="s">
        <v>23</v>
      </c>
      <c r="F9" t="s">
        <v>24</v>
      </c>
    </row>
    <row r="10" spans="1:6">
      <c r="A10" t="s">
        <v>25</v>
      </c>
      <c r="B10">
        <v>0</v>
      </c>
      <c r="C10" s="2">
        <v>6</v>
      </c>
      <c r="D10" s="2">
        <f>B10*C10</f>
        <v>0</v>
      </c>
      <c r="E10" t="s">
        <v>9</v>
      </c>
      <c r="F10" t="s">
        <v>26</v>
      </c>
    </row>
    <row r="12" spans="1:6">
      <c r="A12" t="s">
        <v>27</v>
      </c>
      <c r="D12" s="2">
        <f>SUM(D2:D8,D10)</f>
        <v>10520</v>
      </c>
      <c r="F12" t="str">
        <f>"另有 "&amp;COUNTIF(B2:B10,"未测")&amp;" 项未测"</f>
        <v>另有 1 项未测</v>
      </c>
    </row>
  </sheetData>
  <pageMargins left="0.75" right="0.75" top="1" bottom="1" header="0.5" footer="0.5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Data>
    <row r="1" spans="1:1">
      <c r="A1" s="1" t="s">
        <v>28</v>
      </c>
    </row>
    <row r="2" spans="1:1">
      <c r="A2" t="s">
        <v>29</v>
      </c>
    </row>
    <row r="3" spans="1:1">
      <c r="A3" t="s">
        <v>30</v>
      </c>
    </row>
  </sheetData>
  <pageMargins left="0.75" right="0.75" top="1" bottom="1" header="0.5" footer="0.5"/>
</worksheet>
</file>

<file path=customXml/clw-preservation.xml><?xml version="1.0" encoding="utf-8"?>
<clioworks-preservation xmlns="urn:clioworks:s11">opaque-carry-marker</clioworks-preservation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预算</vt:lpstr>
      <vt:lpstr>口径</vt:lpstr>
    </vt:vector>
  </TitlesOfParts>
  <LinksUpToDate>false</LinksUpToDate>
  <SharedDoc>false</SharedDoc>
  <HyperlinksChanged>false</HyperlinksChanged>
  <AppVersion>11.0000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2026-10-16T08:00:00Z</dcterms:created>
  <dcterms:modified xsi:type="dcterms:W3CDTF">2026-10-16T08:00:00Z</dcterms:modified>
</cp:coreProperties>
</file>