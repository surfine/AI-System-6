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clw-preservation.xml" ContentType="application/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预算" sheetId="1" r:id="rId1"/>
    <sheet name="口径" sheetId="2" r:id="rId2"/>
  </sheets>
  <calcPr calcId="191029"/>
</workbook>
</file>

<file path=xl/comments1.xml><?xml version="1.0" encoding="utf-8"?>
<comments xmlns="http://schemas.openxmlformats.org/spreadsheetml/2006/main">
  <authors>
    <author>tc={11111111-1111-4111-8111-111111111111}</author>
  </authors>
  <commentList>
    <comment ref="B2" authorId="0">
      <text>
        <t>[Threaded comment]
纸箱单价再确认一下</t>
      </text>
    </comment>
  </commentList>
</comments>
</file>

<file path=xl/sharedStrings.xml><?xml version="1.0" encoding="utf-8"?>
<sst xmlns="http://schemas.openxmlformats.org/spreadsheetml/2006/main" count="31" uniqueCount="31">
  <si>
    <t>项目</t>
  </si>
  <si>
    <t>数量</t>
  </si>
  <si>
    <t>单价</t>
  </si>
  <si>
    <t>金额</t>
  </si>
  <si>
    <t>负责人</t>
  </si>
  <si>
    <t>状态</t>
  </si>
  <si>
    <t>占比</t>
  </si>
  <si>
    <t>日期</t>
  </si>
  <si>
    <t>纸箱（中号）</t>
  </si>
  <si>
    <t>阿澄</t>
  </si>
  <si>
    <t>已买</t>
  </si>
  <si>
    <t>封箱胶带</t>
  </si>
  <si>
    <t>小货车（半天）</t>
  </si>
  <si>
    <t>小禾</t>
  </si>
  <si>
    <t>已约</t>
  </si>
  <si>
    <t>搬运帮工</t>
  </si>
  <si>
    <t>待确认</t>
  </si>
  <si>
    <t>新书架</t>
  </si>
  <si>
    <t>标签纸</t>
  </si>
  <si>
    <t>午饭与茶水</t>
  </si>
  <si>
    <t>估算</t>
  </si>
  <si>
    <t>旧书架拆卸</t>
  </si>
  <si>
    <t>未测</t>
  </si>
  <si>
    <t>房东</t>
  </si>
  <si>
    <t>问过了</t>
  </si>
  <si>
    <t>备用箱</t>
  </si>
  <si>
    <t>待定</t>
  </si>
  <si>
    <t>合计</t>
  </si>
  <si>
    <t>口径</t>
  </si>
  <si>
    <t>金额 = 数量 × 单价；“未测”不参与合计。</t>
  </si>
  <si>
    <t>仅供格式互操作测试的合成夹具。</t>
  </si>
</sst>
</file>

<file path=xl/styles.xml><?xml version="1.0" encoding="utf-8"?>
<styleSheet xmlns="http://schemas.openxmlformats.org/spreadsheetml/2006/main">
  <numFmts count="3">
    <numFmt numFmtId="164" formatCode="&quot;¥&quot;#,##0"/>
    <numFmt numFmtId="165" formatCode="0.0%"/>
    <numFmt numFmtId="166" formatCode="yyyy&quot;年&quot;m&quot;月&quot;d&quot;日&quot;"/>
  </numFmts>
  <fonts count="2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ustomXml" Target="../customXml/clw-preservatio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>
  <person displayName="阿澄" id="{AAAAAAAA-AAAA-4AAA-8AAA-AAAAAAAAAAAA}" userId="阿澄" providerId="None"/>
  <person displayName="小禾" id="{BBBBBBBB-BBBB-4BBB-8BBB-BBBBBBBBBBBB}" userId="小禾" providerId="None"/>
</personList>
</file>

<file path=xl/threadedComments/threadedComment1.xml><?xml version="1.0" encoding="utf-8"?>
<ThreadedComments xmlns="http://schemas.microsoft.com/office/spreadsheetml/2018/threadedcomments">
  <threadedComment ref="B2" dT="2026-10-10T09:00:00.00" personId="{AAAAAAAA-AAAA-4AAA-8AAA-AAAAAAAAAAAA}" id="{11111111-1111-4111-8111-111111111111}">
    <text>纸箱单价再确认一下</text>
  </threadedComment>
  <threadedComment ref="B2" dT="2026-10-10T10:30:00.00" personId="{BBBBBBBB-BBBB-4BBB-8BBB-BBBBBBBBBBBB}" id="{22222222-2222-4222-8222-222222222222}" parentId="{11111111-1111-4111-8111-111111111111}">
    <text>已确认，按 6 元算</text>
  </threadedComment>
</ThreadedComment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2"/>
  <cols>
    <col min="1" max="1" width="22" customWidth="1"/>
    <col min="2" max="8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>
        <v>220</v>
      </c>
      <c r="C2" s="2">
        <v>6</v>
      </c>
      <c r="D2" s="2">
        <f t="shared" ref="D2:D10" si="0">B2*C2</f>
        <v>1320</v>
      </c>
      <c r="E2" s="0" t="s">
        <v>9</v>
      </c>
      <c r="F2" s="0" t="s">
        <v>10</v>
      </c>
      <c r="G2" s="3">
        <f t="shared" ref="G2:G8" si="1">D2/$D$12</f>
        <v>0.12915851272015655</v>
      </c>
      <c r="H2" s="4">
        <v>46300</v>
      </c>
    </row>
    <row r="3">
      <c r="A3" s="0" t="s">
        <v>11</v>
      </c>
      <c r="B3" s="0">
        <v>30</v>
      </c>
      <c r="C3" s="2">
        <v>4</v>
      </c>
      <c r="D3" s="2">
        <f t="shared" si="0"/>
        <v>120</v>
      </c>
      <c r="E3" s="0" t="s">
        <v>9</v>
      </c>
      <c r="F3" s="0" t="s">
        <v>10</v>
      </c>
      <c r="G3" s="3">
        <f t="shared" si="1"/>
        <v>0.011741682974559686</v>
      </c>
      <c r="H3" s="5">
        <v>46301</v>
      </c>
    </row>
    <row r="4">
      <c r="A4" s="0" t="s">
        <v>12</v>
      </c>
      <c r="B4" s="0">
        <v>4</v>
      </c>
      <c r="C4" s="2">
        <v>650</v>
      </c>
      <c r="D4" s="2">
        <f t="shared" si="0"/>
        <v>2600</v>
      </c>
      <c r="E4" s="0" t="s">
        <v>13</v>
      </c>
      <c r="F4" s="0" t="s">
        <v>14</v>
      </c>
      <c r="G4" s="3">
        <f t="shared" si="1"/>
        <v>0.25440313111545987</v>
      </c>
    </row>
    <row r="5">
      <c r="A5" s="0" t="s">
        <v>15</v>
      </c>
      <c r="B5" s="0">
        <v>14</v>
      </c>
      <c r="C5" s="2">
        <v>200</v>
      </c>
      <c r="D5" s="2">
        <f t="shared" si="0"/>
        <v>2800</v>
      </c>
      <c r="E5" s="0" t="s">
        <v>13</v>
      </c>
      <c r="F5" s="0" t="s">
        <v>16</v>
      </c>
      <c r="G5" s="3">
        <f t="shared" si="1"/>
        <v>0.273972602739726</v>
      </c>
    </row>
    <row r="6">
      <c r="A6" s="0" t="s">
        <v>17</v>
      </c>
      <c r="B6" s="0">
        <v>6</v>
      </c>
      <c r="C6" s="2">
        <v>380</v>
      </c>
      <c r="D6" s="2">
        <f t="shared" si="0"/>
        <v>2280</v>
      </c>
      <c r="E6" s="0" t="s">
        <v>9</v>
      </c>
      <c r="F6" s="0" t="s">
        <v>16</v>
      </c>
      <c r="G6" s="3">
        <f t="shared" si="1"/>
        <v>0.22309197651663404</v>
      </c>
    </row>
    <row r="7">
      <c r="A7" s="0" t="s">
        <v>18</v>
      </c>
      <c r="B7" s="0">
        <v>12</v>
      </c>
      <c r="C7" s="2">
        <v>15</v>
      </c>
      <c r="D7" s="2">
        <f t="shared" si="0"/>
        <v>180</v>
      </c>
      <c r="E7" s="0" t="s">
        <v>9</v>
      </c>
      <c r="F7" s="0" t="s">
        <v>10</v>
      </c>
      <c r="G7" s="3">
        <f t="shared" si="1"/>
        <v>0.01761252446183953</v>
      </c>
    </row>
    <row r="8">
      <c r="A8" s="0" t="s">
        <v>19</v>
      </c>
      <c r="B8" s="0">
        <v>23</v>
      </c>
      <c r="C8" s="2">
        <v>40</v>
      </c>
      <c r="D8" s="2">
        <f t="shared" si="0"/>
        <v>920</v>
      </c>
      <c r="E8" s="0" t="s">
        <v>13</v>
      </c>
      <c r="F8" s="0" t="s">
        <v>20</v>
      </c>
      <c r="G8" s="3">
        <f t="shared" si="1"/>
        <v>0.09001956947162426</v>
      </c>
    </row>
    <row r="9">
      <c r="A9" s="0" t="s">
        <v>21</v>
      </c>
      <c r="B9" s="0" t="s">
        <v>22</v>
      </c>
      <c r="C9" s="2"/>
      <c r="D9" s="2" t="e">
        <f t="shared" si="0"/>
        <v>#VALUE!</v>
      </c>
      <c r="E9" s="0" t="s">
        <v>23</v>
      </c>
      <c r="F9" s="0" t="s">
        <v>24</v>
      </c>
    </row>
    <row r="10">
      <c r="A10" s="0" t="s">
        <v>25</v>
      </c>
      <c r="B10" s="0">
        <v>0</v>
      </c>
      <c r="C10" s="2">
        <v>6</v>
      </c>
      <c r="D10" s="2">
        <f t="shared" si="0"/>
        <v>0</v>
      </c>
      <c r="E10" s="0" t="s">
        <v>9</v>
      </c>
      <c r="F10" s="0" t="s">
        <v>26</v>
      </c>
    </row>
    <row r="12">
      <c r="A12" s="0" t="s">
        <v>27</v>
      </c>
      <c r="D12" s="2">
        <f>SUM(D2:D8,D10)</f>
        <v>10220</v>
      </c>
      <c r="F12" t="str">
        <f>"另有 "&amp;COUNTIF(B2:B10,"未测")&amp;" 项未测"</f>
        <v>另有 1 项未测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Data>
    <row r="1">
      <c r="A1" s="1" t="s">
        <v>28</v>
      </c>
    </row>
    <row r="2">
      <c r="A2" s="0" t="s">
        <v>29</v>
      </c>
    </row>
    <row r="3">
      <c r="A3" s="0" t="s">
        <v>30</v>
      </c>
    </row>
  </sheetData>
</worksheet>
</file>

<file path=customXml/clw-preservation.xml><?xml version="1.0" encoding="utf-8"?>
<clioworks-preservation xmlns="urn:clioworks:s11">opaque-carry-marker</clioworks-preservation>
</file>